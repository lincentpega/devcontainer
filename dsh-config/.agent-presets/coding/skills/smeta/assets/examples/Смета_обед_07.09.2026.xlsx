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3" customWidth="1" min="4" max="4"/>
    <col width="12" customWidth="1" min="5" max="5"/>
    <col width="11" customWidth="1" min="6" max="6"/>
    <col width="11" customWidth="1" min="7" max="7"/>
    <col width="12" customWidth="1" min="8" max="8"/>
    <col width="13" customWidth="1" min="9" max="9"/>
  </cols>
  <sheetData>
    <row r="1" ht="22.5" customHeight="1">
      <c r="A1" s="1" t="inlineStr">
        <is>
          <t>Позиция</t>
        </is>
      </c>
      <c r="B1" s="1" t="inlineStr">
        <is>
          <t>Сумма</t>
        </is>
      </c>
      <c r="C1" s="1" t="inlineStr">
        <is>
          <t>Я</t>
        </is>
      </c>
      <c r="D1" s="1" t="inlineStr">
        <is>
          <t>Алексей</t>
        </is>
      </c>
      <c r="E1" s="1" t="inlineStr">
        <is>
          <t>Диёр</t>
        </is>
      </c>
      <c r="F1" s="1" t="inlineStr">
        <is>
          <t>Баке</t>
        </is>
      </c>
      <c r="G1" s="1" t="inlineStr">
        <is>
          <t>Наиль</t>
        </is>
      </c>
      <c r="H1" s="1" t="inlineStr">
        <is>
          <t>Владислав</t>
        </is>
      </c>
      <c r="I1" s="1" t="inlineStr">
        <is>
          <t>Ирсен</t>
        </is>
      </c>
    </row>
    <row r="2" ht="22.5" customHeight="1">
      <c r="A2" s="2" t="inlineStr">
        <is>
          <t>Туй оши порция</t>
        </is>
      </c>
      <c r="B2" s="2">
        <f>SUM(C2:I2)</f>
        <v/>
      </c>
      <c r="C2" s="2" t="n">
        <v>0</v>
      </c>
      <c r="D2" s="2" t="n">
        <v>0</v>
      </c>
      <c r="E2" s="2" t="n">
        <v>0</v>
      </c>
      <c r="F2" s="2" t="n">
        <v>50000</v>
      </c>
      <c r="G2" s="2" t="n">
        <v>0</v>
      </c>
      <c r="H2" s="2" t="n">
        <v>50000</v>
      </c>
      <c r="I2" s="2" t="n">
        <v>50000</v>
      </c>
    </row>
    <row r="3" ht="22.5" customHeight="1">
      <c r="A3" s="2" t="inlineStr">
        <is>
          <t>доп.гушт (туй оши)</t>
        </is>
      </c>
      <c r="B3" s="2">
        <f>SUM(C3:I3)</f>
        <v/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30000</v>
      </c>
      <c r="I3" s="2" t="n">
        <v>0</v>
      </c>
    </row>
    <row r="4" ht="22.5" customHeight="1">
      <c r="A4" s="2" t="inlineStr">
        <is>
          <t>Чойхона ош порция</t>
        </is>
      </c>
      <c r="B4" s="2">
        <f>SUM(C4:I4)</f>
        <v/>
      </c>
      <c r="C4" s="2" t="n">
        <v>0</v>
      </c>
      <c r="D4" s="2" t="n">
        <v>0</v>
      </c>
      <c r="E4" s="2" t="n">
        <v>50000</v>
      </c>
      <c r="F4" s="2" t="n">
        <v>0</v>
      </c>
      <c r="G4" s="2" t="n">
        <v>0</v>
      </c>
      <c r="H4" s="2" t="n">
        <v>0</v>
      </c>
      <c r="I4" s="2" t="n">
        <v>0</v>
      </c>
    </row>
    <row r="5" ht="22.5" customHeight="1">
      <c r="A5" s="2" t="inlineStr">
        <is>
          <t>Бедана тухум (2 шт)</t>
        </is>
      </c>
      <c r="B5" s="2">
        <f>SUM(C5:I5)</f>
        <v/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4000</v>
      </c>
    </row>
    <row r="6" ht="22.5" customHeight="1">
      <c r="A6" s="2" t="inlineStr">
        <is>
          <t>Зигир ош порция</t>
        </is>
      </c>
      <c r="B6" s="2">
        <f>SUM(C6:I6)</f>
        <v/>
      </c>
      <c r="C6" s="2" t="n">
        <v>52000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</row>
    <row r="7" ht="22.5" customHeight="1">
      <c r="A7" s="2" t="inlineStr">
        <is>
          <t>доп.гушт (зигир ош)</t>
        </is>
      </c>
      <c r="B7" s="2">
        <f>SUM(C7:I7)</f>
        <v/>
      </c>
      <c r="C7" s="2" t="n">
        <v>30000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 ht="22.5" customHeight="1">
      <c r="A8" s="2" t="inlineStr">
        <is>
          <t>Катикли салат</t>
        </is>
      </c>
      <c r="B8" s="2">
        <f>SUM(C8:I8)</f>
        <v/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12000</v>
      </c>
    </row>
    <row r="9" ht="22.5" customHeight="1">
      <c r="A9" s="2" t="inlineStr">
        <is>
          <t>Ачичук</t>
        </is>
      </c>
      <c r="B9" s="2">
        <f>SUM(C9:I9)</f>
        <v/>
      </c>
      <c r="C9" s="2" t="n">
        <v>12000</v>
      </c>
      <c r="D9" s="2" t="n">
        <v>12000</v>
      </c>
      <c r="E9" s="2" t="n">
        <v>0</v>
      </c>
      <c r="F9" s="2" t="n">
        <v>0</v>
      </c>
      <c r="G9" s="2" t="n">
        <v>12000</v>
      </c>
      <c r="H9" s="2" t="n">
        <v>0</v>
      </c>
      <c r="I9" s="2" t="n">
        <v>0</v>
      </c>
    </row>
    <row r="10" ht="22.5" customHeight="1">
      <c r="A10" s="2" t="inlineStr">
        <is>
          <t>Туй оши 0,7 порция</t>
        </is>
      </c>
      <c r="B10" s="2">
        <f>SUM(C10:I10)</f>
        <v/>
      </c>
      <c r="C10" s="2" t="n">
        <v>0</v>
      </c>
      <c r="D10" s="2" t="n">
        <v>48000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</row>
    <row r="11" ht="22.5" customHeight="1">
      <c r="A11" s="2" t="inlineStr">
        <is>
          <t>Особый ош 0,7 порция</t>
        </is>
      </c>
      <c r="B11" s="2">
        <f>SUM(C11:I11)</f>
        <v/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48000</v>
      </c>
      <c r="H11" s="2" t="n">
        <v>0</v>
      </c>
      <c r="I11" s="2" t="n">
        <v>0</v>
      </c>
    </row>
    <row r="12" ht="22.5" customHeight="1">
      <c r="A12" s="2" t="inlineStr">
        <is>
          <t>доп.гушт (особый ош)</t>
        </is>
      </c>
      <c r="B12" s="2">
        <f>SUM(C12:I12)</f>
        <v/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30000</v>
      </c>
      <c r="H12" s="2" t="n">
        <v>0</v>
      </c>
      <c r="I12" s="2" t="n">
        <v>0</v>
      </c>
    </row>
    <row r="13" ht="22.5" customHeight="1">
      <c r="A13" s="2" t="inlineStr">
        <is>
          <t>Нон бутун</t>
        </is>
      </c>
      <c r="B13" s="2">
        <f>SUM(C13:I13)</f>
        <v/>
      </c>
      <c r="C13" s="2" t="n">
        <v>0</v>
      </c>
      <c r="D13" s="2" t="n">
        <v>0</v>
      </c>
      <c r="E13" s="2" t="n">
        <v>4000</v>
      </c>
      <c r="F13" s="2" t="n">
        <v>0</v>
      </c>
      <c r="G13" s="2" t="n">
        <v>0</v>
      </c>
      <c r="H13" s="2" t="n">
        <v>0</v>
      </c>
      <c r="I13" s="2" t="n">
        <v>4000</v>
      </c>
    </row>
    <row r="14" ht="22.5" customHeight="1">
      <c r="A14" s="2" t="inlineStr">
        <is>
          <t>Кук чой</t>
        </is>
      </c>
      <c r="B14" s="2">
        <f>SUM(C14:I14)</f>
        <v/>
      </c>
      <c r="C14" s="2" t="n">
        <v>1667</v>
      </c>
      <c r="D14" s="2" t="n">
        <v>1667</v>
      </c>
      <c r="E14" s="2" t="n">
        <v>1667</v>
      </c>
      <c r="F14" s="2" t="n">
        <v>1667</v>
      </c>
      <c r="G14" s="2" t="n">
        <v>0</v>
      </c>
      <c r="H14" s="2" t="n">
        <v>1667</v>
      </c>
      <c r="I14" s="2" t="n">
        <v>1665</v>
      </c>
    </row>
    <row r="15" ht="22.5" customHeight="1"/>
    <row r="16" ht="22.5" customHeight="1">
      <c r="A16" s="3" t="inlineStr">
        <is>
          <t>Полная сумма</t>
        </is>
      </c>
      <c r="B16" s="4">
        <f>SUM(B2:B14)</f>
        <v/>
      </c>
      <c r="C16" s="4">
        <f>SUM(C2:C14)</f>
        <v/>
      </c>
      <c r="D16" s="4">
        <f>SUM(D2:D14)</f>
        <v/>
      </c>
      <c r="E16" s="4">
        <f>SUM(E2:E14)</f>
        <v/>
      </c>
      <c r="F16" s="4">
        <f>SUM(F2:F14)</f>
        <v/>
      </c>
      <c r="G16" s="4">
        <f>SUM(G2:G14)</f>
        <v/>
      </c>
      <c r="H16" s="4">
        <f>SUM(H2:H14)</f>
        <v/>
      </c>
      <c r="I16" s="4">
        <f>SUM(I2:I14)</f>
        <v/>
      </c>
    </row>
    <row r="17" ht="22.5" customHeight="1">
      <c r="A17" s="3" t="inlineStr">
        <is>
          <t>Обслуживание 12%</t>
        </is>
      </c>
      <c r="B17" s="4">
        <f>SUM(C17:I17)</f>
        <v/>
      </c>
      <c r="C17" s="4">
        <f>CEILING(C16*0.12,1)</f>
        <v/>
      </c>
      <c r="D17" s="4">
        <f>CEILING(D16*0.12,1)</f>
        <v/>
      </c>
      <c r="E17" s="4">
        <f>CEILING(E16*0.12,1)</f>
        <v/>
      </c>
      <c r="F17" s="4">
        <f>CEILING(F16*0.12,1)</f>
        <v/>
      </c>
      <c r="G17" s="4">
        <f>CEILING(G16*0.12,1)</f>
        <v/>
      </c>
      <c r="H17" s="4">
        <f>CEILING(H16*0.12,1)</f>
        <v/>
      </c>
      <c r="I17" s="4">
        <f>CEILING(I16*0.12,1)</f>
        <v/>
      </c>
    </row>
    <row r="18" ht="22.5" customHeight="1">
      <c r="A18" s="3" t="inlineStr">
        <is>
          <t>ИТОГО</t>
        </is>
      </c>
      <c r="B18" s="4">
        <f>B16+B17</f>
        <v/>
      </c>
      <c r="C18" s="4">
        <f>C16+C17</f>
        <v/>
      </c>
      <c r="D18" s="4">
        <f>D16+D17</f>
        <v/>
      </c>
      <c r="E18" s="4">
        <f>E16+E17</f>
        <v/>
      </c>
      <c r="F18" s="4">
        <f>F16+F17</f>
        <v/>
      </c>
      <c r="G18" s="4">
        <f>G16+G17</f>
        <v/>
      </c>
      <c r="H18" s="4">
        <f>H16+H17</f>
        <v/>
      </c>
      <c r="I18" s="4">
        <f>I16+I17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2026-09-07T09:24:36Z</dcterms:created>
  <dcterms:modified xsi:type="dcterms:W3CDTF">2026-09-07T09:24:36Z</dcterms:modified>
</cp:coreProperties>
</file>